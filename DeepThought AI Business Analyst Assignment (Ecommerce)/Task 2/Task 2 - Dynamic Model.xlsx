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20E1D67-8BA3-44D2-A7C0-CADE73011A15}" xr6:coauthVersionLast="47" xr6:coauthVersionMax="47" xr10:uidLastSave="{00000000-0000-0000-0000-000000000000}"/>
  <bookViews>
    <workbookView xWindow="-110" yWindow="-110" windowWidth="19420" windowHeight="10420" xr2:uid="{122F486F-6F56-4FC5-8695-E70A63BA584E}"/>
  </bookViews>
  <sheets>
    <sheet name="Dynamic Profitability Model" sheetId="1" r:id="rId1"/>
    <sheet name="Scenario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E2" i="1"/>
  <c r="E3" i="1"/>
  <c r="E4" i="1"/>
  <c r="E7" i="1"/>
  <c r="E10" i="1" s="1"/>
  <c r="E9" i="1"/>
  <c r="E6" i="1" l="1"/>
  <c r="E11" i="1" s="1"/>
  <c r="E5" i="1"/>
  <c r="E8" i="1" s="1"/>
</calcChain>
</file>

<file path=xl/sharedStrings.xml><?xml version="1.0" encoding="utf-8"?>
<sst xmlns="http://schemas.openxmlformats.org/spreadsheetml/2006/main" count="50" uniqueCount="49">
  <si>
    <t>INPUT SECTION</t>
  </si>
  <si>
    <t>OUTPUT SECTION</t>
  </si>
  <si>
    <t>Selling Price (SP)</t>
  </si>
  <si>
    <t>Gross Margin per Unit</t>
  </si>
  <si>
    <t>COGS</t>
  </si>
  <si>
    <t>Amazon Fee per Unit</t>
  </si>
  <si>
    <t>Amazon Referral Fee (%)</t>
  </si>
  <si>
    <t>Ad Cost per Unit</t>
  </si>
  <si>
    <t>Monthly Ad Spend</t>
  </si>
  <si>
    <t>Net Margin (Ad Units)</t>
  </si>
  <si>
    <t>Units Sold via Ads</t>
  </si>
  <si>
    <t>Net Margin (Organic Units)</t>
  </si>
  <si>
    <t>Organic Units Sold</t>
  </si>
  <si>
    <t>Total Monthly Revenue</t>
  </si>
  <si>
    <t>Fixed Costs</t>
  </si>
  <si>
    <t>Total Monthly Profit</t>
  </si>
  <si>
    <t>ACOS</t>
  </si>
  <si>
    <t>TACOS</t>
  </si>
  <si>
    <t>Break-Even Ad Spend</t>
  </si>
  <si>
    <t>Values</t>
  </si>
  <si>
    <t>Ad Spend</t>
  </si>
  <si>
    <t>Profit</t>
  </si>
  <si>
    <t>Scenario Analysis</t>
  </si>
  <si>
    <t>1. Price Sensitivity (SP increases to ₹950)</t>
  </si>
  <si>
    <t>When the selling price increases from ₹800 to ₹950:</t>
  </si>
  <si>
    <t>TACOS decreases because ad spend remains constant while total revenue rises</t>
  </si>
  <si>
    <t>Revenue increases because of increase in SP</t>
  </si>
  <si>
    <t xml:space="preserve">Profit margin per unit improves </t>
  </si>
  <si>
    <t xml:space="preserve">Total monthly profit increases </t>
  </si>
  <si>
    <t>2. Cost Pressure (COGS increases by 20%)</t>
  </si>
  <si>
    <r>
      <t xml:space="preserve">Analysis:  </t>
    </r>
    <r>
      <rPr>
        <sz val="11"/>
        <color theme="1"/>
        <rFont val="Calibri"/>
        <family val="2"/>
        <scheme val="minor"/>
      </rPr>
      <t>This improves overall campaign efficiency and strengthens profitability.</t>
    </r>
  </si>
  <si>
    <r>
      <t xml:space="preserve">Recommendation: </t>
    </r>
    <r>
      <rPr>
        <sz val="11"/>
        <color theme="1"/>
        <rFont val="Calibri"/>
        <family val="2"/>
        <scheme val="minor"/>
      </rPr>
      <t>GlowNest can consider a price increase if customer demand remains stable.</t>
    </r>
  </si>
  <si>
    <t>New COGS: ₹280 × 1.20 = ₹336</t>
  </si>
  <si>
    <t>This reduces the gross margin per unit and directly lowers overall profitability. It also reduces the business’s flexibility to spend aggressively on advertising.</t>
  </si>
  <si>
    <r>
      <t xml:space="preserve">The new break-even ad spend becomes </t>
    </r>
    <r>
      <rPr>
        <b/>
        <sz val="11"/>
        <color theme="1"/>
        <rFont val="Calibri"/>
        <family val="2"/>
        <scheme val="minor"/>
      </rPr>
      <t>₹11,38,000</t>
    </r>
    <r>
      <rPr>
        <sz val="11"/>
        <color theme="1"/>
        <rFont val="Calibri"/>
        <family val="2"/>
        <scheme val="minor"/>
      </rPr>
      <t>, which shows that higher operational costs reduce campaign sustainability.</t>
    </r>
  </si>
  <si>
    <t>3. Organic Growth (Organic Units increase from 2,000 to 3,500)</t>
  </si>
  <si>
    <t>When organic sales increase while ad spend remains constant, total revenue increases and profitability improves.</t>
  </si>
  <si>
    <t xml:space="preserve">New TACOS: = 3,00,000 ÷ 40,00,000 × 100 = 7.5% </t>
  </si>
  <si>
    <t xml:space="preserve">Which means TACOS decreases </t>
  </si>
  <si>
    <r>
      <rPr>
        <b/>
        <sz val="11"/>
        <color theme="1"/>
        <rFont val="Calibri"/>
        <family val="2"/>
        <scheme val="minor"/>
      </rPr>
      <t>Recommendation:</t>
    </r>
    <r>
      <rPr>
        <sz val="11"/>
        <color theme="1"/>
        <rFont val="Calibri"/>
        <family val="2"/>
        <scheme val="minor"/>
      </rPr>
      <t xml:space="preserve"> GlowNest should focus on reducing sourcing costs and improving operational efficiency, and optimizing spending to maintain healthy margins.</t>
    </r>
  </si>
  <si>
    <r>
      <t xml:space="preserve">Recommendation: </t>
    </r>
    <r>
      <rPr>
        <sz val="11"/>
        <color theme="1"/>
        <rFont val="Calibri"/>
        <family val="2"/>
        <scheme val="minor"/>
      </rPr>
      <t>GlowNest should continue improving listing quality, collecting customer reviews, and strengthening brand presence to support long-term organic growth.</t>
    </r>
  </si>
  <si>
    <t>4. Category Shift (GlowNest drops SP to ₹700)</t>
  </si>
  <si>
    <t>Reducing the selling price to 700 will lowers profit margins significantly. Which will create higher pressure on ad efficiency and makes the business more sensitive to wasted ad spend.</t>
  </si>
  <si>
    <t>If sales volume does not increase enough to compensate, overall profitability will weaken.</t>
  </si>
  <si>
    <r>
      <t>Recommendation:</t>
    </r>
    <r>
      <rPr>
        <sz val="11"/>
        <color theme="1"/>
        <rFont val="Calibri"/>
        <family val="2"/>
        <scheme val="minor"/>
      </rPr>
      <t xml:space="preserve"> GlowNest should not focus only on lowering prices.
The company should work on improving product quality, better branding, and making the product listing more attractive to customers.</t>
    </r>
  </si>
  <si>
    <t>Depending too much on discounts is not a good long-term strategy because it reduces profit margins.</t>
  </si>
  <si>
    <t>Final Scenario Conclusion</t>
  </si>
  <si>
    <t>The model shows that GlowNest performs best when it maintains balanced pricing, controls costs, and continues growing organic sales.</t>
  </si>
  <si>
    <t>The strongest long-term strategy is not aggressive price competition, but smart advertising optimization and strong brand positioning.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</si>
</sst>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14">
    <dxf>
      <font>
        <color rgb="FF92D050"/>
      </font>
    </dxf>
    <dxf>
      <font>
        <color rgb="FFFF0000"/>
      </font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0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0"/>
        <name val="Calibri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Ad Spend vs Profitability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'Dynamic Profitability Model'!$G$1</c:f>
              <c:strCache>
                <c:ptCount val="1"/>
                <c:pt idx="0">
                  <c:v>Ad 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'Dynamic Profitability Model'!$G$2:$G$7</c:f>
              <c:numCache>
                <c:formatCode>General</c:formatCode>
                <c:ptCount val="6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E-4081-B8EA-4FE248464684}"/>
            </c:ext>
          </c:extLst>
        </c:ser>
        <c:ser>
          <c:idx val="1"/>
          <c:order val="1"/>
          <c:tx>
            <c:strRef>
              <c:f>'Dynamic Profitability Model'!$H$1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'Dynamic Profitability Model'!$H$2:$H$7</c:f>
              <c:numCache>
                <c:formatCode>General</c:formatCode>
                <c:ptCount val="6"/>
                <c:pt idx="0">
                  <c:v>1234000</c:v>
                </c:pt>
                <c:pt idx="1">
                  <c:v>1134000</c:v>
                </c:pt>
                <c:pt idx="2">
                  <c:v>1034000</c:v>
                </c:pt>
                <c:pt idx="3">
                  <c:v>934000</c:v>
                </c:pt>
                <c:pt idx="4">
                  <c:v>834000</c:v>
                </c:pt>
                <c:pt idx="5">
                  <c:v>734000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E-4081-B8EA-4FE248464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98623"/>
        <c:axId val="126002943"/>
      </c:lineChart>
      <c:catAx>
        <c:axId val="125998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2943"/>
        <c:crosses val="autoZero"/>
        <c:auto val="1"/>
        <c:lblAlgn val="ctr"/>
        <c:lblOffset val="100"/>
        <c:noMultiLvlLbl val="0"/>
      </c:catAx>
      <c:valAx>
        <c:axId val="1260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815975</xdr:colOff>
      <xdr:row>7</xdr:row>
      <xdr:rowOff>177800</xdr:rowOff>
    </xdr:from>
    <xdr:to>
      <xdr:col>14</xdr:col>
      <xdr:colOff>12700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84F38-E821-7BC3-CE93-30E69B38A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FDC12-4479-4437-AFFE-26AB06AD2D5A}" name="Table1" displayName="Table1" ref="A1:B8" totalsRowShown="0" headerRowDxfId="13" dataDxfId="12">
  <autoFilter ref="A1:B8" xr:uid="{392FDC12-4479-4437-AFFE-26AB06AD2D5A}"/>
  <tableColumns count="2">
    <tableColumn id="1" xr3:uid="{F6FE2162-1906-438B-A3B7-50B46B8EAEE1}" name="INPUT SECTION" dataDxfId="11"/>
    <tableColumn id="2" xr3:uid="{0F62481F-8F79-4A7C-96B6-2D61DC25355C}" name="Value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D71E0-B1F8-436F-B064-21B4CF0800E2}" name="Table2" displayName="Table2" ref="D1:E11" totalsRowShown="0" headerRowDxfId="9" dataDxfId="8">
  <autoFilter ref="D1:E11" xr:uid="{39ED71E0-B1F8-436F-B064-21B4CF0800E2}"/>
  <tableColumns count="2">
    <tableColumn id="1" xr3:uid="{66415976-584E-4DA4-859E-B2DCABB0A24B}" name="OUTPUT SECTION" dataDxfId="7"/>
    <tableColumn id="2" xr3:uid="{C3E0CCB0-377E-4004-B178-E937A87EABB4}" name="Value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81ECF3-013E-4C14-A7FD-D886432B18AC}" name="Table3" displayName="Table3" ref="G1:H7" totalsRowShown="0" headerRowDxfId="5" dataDxfId="4">
  <autoFilter ref="G1:H7" xr:uid="{7A81ECF3-013E-4C14-A7FD-D886432B18AC}"/>
  <tableColumns count="2">
    <tableColumn id="1" xr3:uid="{A6722EE2-E04F-4DD1-AE68-A9DB648CBD65}" name="Ad Spend" dataDxfId="3"/>
    <tableColumn id="2" xr3:uid="{E638CC55-6B63-4595-A44F-8806CB48AA6E}" name="Profit" dataDxfId="2">
      <calculatedColumnFormula>((($B$2-$B$3)-($B$2*$B$4)-(G2/$B$6))*$B$6)+((($B$2-$B$3)-($B$2*$B$4))*$B$7)-$B$8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21B8-2765-44F9-BB76-90227A0B20B6}">
  <dimension ref="A1:H12"/>
  <sheetViews>
    <sheetView tabSelected="1" workbookViewId="0">
      <selection activeCell="J6" sqref="J6"/>
    </sheetView>
  </sheetViews>
  <sheetFormatPr defaultRowHeight="14.5"/>
  <cols>
    <col min="1" max="1" width="22.90625" customWidth="1"/>
    <col min="2" max="2" width="12.54296875" customWidth="1"/>
    <col min="4" max="4" width="24.1796875" customWidth="1"/>
    <col min="5" max="5" width="11.54296875" customWidth="1"/>
    <col min="7" max="7" width="15.1796875" customWidth="1"/>
    <col min="8" max="8" width="12.7265625" customWidth="1"/>
  </cols>
  <sheetData>
    <row r="1" spans="1:8">
      <c r="A1" s="7" t="s">
        <v>0</v>
      </c>
      <c r="B1" s="8" t="s">
        <v>19</v>
      </c>
      <c r="C1" s="1"/>
      <c r="D1" s="5" t="s">
        <v>1</v>
      </c>
      <c r="E1" s="6" t="s">
        <v>19</v>
      </c>
      <c r="G1" s="3" t="s">
        <v>20</v>
      </c>
      <c r="H1" s="3" t="s">
        <v>21</v>
      </c>
    </row>
    <row r="2" spans="1:8">
      <c r="A2" s="1" t="s">
        <v>2</v>
      </c>
      <c r="B2" s="1">
        <v>800</v>
      </c>
      <c r="C2" s="1"/>
      <c r="D2" s="1" t="s">
        <v>3</v>
      </c>
      <c r="E2" s="1">
        <f>B2-B3</f>
        <v>520</v>
      </c>
      <c r="G2" s="4">
        <v>100000</v>
      </c>
      <c r="H2" s="4">
        <f t="shared" ref="H2:H7" si="0">((($B$2-$B$3)-($B$2*$B$4)-(G2/$B$6))*$B$6)+((($B$2-$B$3)-($B$2*$B$4))*$B$7)-$B$8</f>
        <v>1234000</v>
      </c>
    </row>
    <row r="3" spans="1:8">
      <c r="A3" s="1" t="s">
        <v>4</v>
      </c>
      <c r="B3" s="1">
        <v>280</v>
      </c>
      <c r="C3" s="1"/>
      <c r="D3" s="1" t="s">
        <v>5</v>
      </c>
      <c r="E3" s="1">
        <f>B2*B4</f>
        <v>96</v>
      </c>
      <c r="G3" s="4">
        <v>200000</v>
      </c>
      <c r="H3" s="4">
        <f t="shared" si="0"/>
        <v>1134000</v>
      </c>
    </row>
    <row r="4" spans="1:8">
      <c r="A4" s="1" t="s">
        <v>6</v>
      </c>
      <c r="B4" s="2">
        <v>0.12</v>
      </c>
      <c r="C4" s="1"/>
      <c r="D4" s="1" t="s">
        <v>7</v>
      </c>
      <c r="E4" s="1">
        <f>B5/B6</f>
        <v>200</v>
      </c>
      <c r="G4" s="4">
        <v>300000</v>
      </c>
      <c r="H4" s="4">
        <f t="shared" si="0"/>
        <v>1034000</v>
      </c>
    </row>
    <row r="5" spans="1:8">
      <c r="A5" s="1" t="s">
        <v>8</v>
      </c>
      <c r="B5" s="1">
        <v>300000</v>
      </c>
      <c r="C5" s="1"/>
      <c r="D5" s="1" t="s">
        <v>9</v>
      </c>
      <c r="E5" s="1">
        <f>E2-E3-E4</f>
        <v>224</v>
      </c>
      <c r="G5" s="4">
        <v>400000</v>
      </c>
      <c r="H5" s="4">
        <f t="shared" si="0"/>
        <v>934000</v>
      </c>
    </row>
    <row r="6" spans="1:8">
      <c r="A6" s="1" t="s">
        <v>10</v>
      </c>
      <c r="B6" s="1">
        <v>1500</v>
      </c>
      <c r="C6" s="1"/>
      <c r="D6" s="1" t="s">
        <v>11</v>
      </c>
      <c r="E6" s="1">
        <f>E2-E3</f>
        <v>424</v>
      </c>
      <c r="G6" s="4">
        <v>500000</v>
      </c>
      <c r="H6" s="4">
        <f t="shared" si="0"/>
        <v>834000</v>
      </c>
    </row>
    <row r="7" spans="1:8">
      <c r="A7" s="1" t="s">
        <v>12</v>
      </c>
      <c r="B7" s="1">
        <v>2000</v>
      </c>
      <c r="C7" s="1"/>
      <c r="D7" s="1" t="s">
        <v>13</v>
      </c>
      <c r="E7" s="1">
        <f>B2*(B6+B7)</f>
        <v>2800000</v>
      </c>
      <c r="G7" s="4">
        <v>600000</v>
      </c>
      <c r="H7">
        <f t="shared" si="0"/>
        <v>734000</v>
      </c>
    </row>
    <row r="8" spans="1:8">
      <c r="A8" s="1" t="s">
        <v>14</v>
      </c>
      <c r="B8" s="1">
        <v>150000</v>
      </c>
      <c r="C8" s="1"/>
      <c r="D8" s="1" t="s">
        <v>15</v>
      </c>
      <c r="E8" s="1">
        <f>(E5*B6)+(E6*B7)-B8</f>
        <v>1034000</v>
      </c>
    </row>
    <row r="9" spans="1:8">
      <c r="A9" s="1"/>
      <c r="B9" s="1"/>
      <c r="C9" s="1"/>
      <c r="D9" s="1" t="s">
        <v>16</v>
      </c>
      <c r="E9" s="2">
        <f>B5/(B2*B6)</f>
        <v>0.25</v>
      </c>
    </row>
    <row r="10" spans="1:8">
      <c r="A10" s="1"/>
      <c r="B10" s="1"/>
      <c r="C10" s="1"/>
      <c r="D10" s="1" t="s">
        <v>17</v>
      </c>
      <c r="E10" s="2">
        <f>B5/E7</f>
        <v>0.10714285714285714</v>
      </c>
    </row>
    <row r="11" spans="1:8">
      <c r="A11" s="1"/>
      <c r="B11" s="1"/>
      <c r="C11" s="1"/>
      <c r="D11" s="1" t="s">
        <v>18</v>
      </c>
      <c r="E11" s="1">
        <f>((E6*B7)+(E2-E3)*B6)-B8</f>
        <v>1334000</v>
      </c>
    </row>
    <row r="12" spans="1:8">
      <c r="A12" s="1"/>
      <c r="B12" s="1"/>
      <c r="C12" s="1"/>
      <c r="D12" s="1"/>
      <c r="E12" s="1"/>
    </row>
  </sheetData>
  <conditionalFormatting sqref="E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7821-8132-4BF7-A1FF-8EB3A4CE857E}">
  <dimension ref="A1:A32"/>
  <sheetViews>
    <sheetView workbookViewId="0">
      <selection activeCell="A27" sqref="A27"/>
    </sheetView>
  </sheetViews>
  <sheetFormatPr defaultRowHeight="14.5"/>
  <cols>
    <col min="1" max="1" width="165.26953125" customWidth="1"/>
  </cols>
  <sheetData>
    <row r="1" spans="1:1" ht="18.5">
      <c r="A1" s="10" t="s">
        <v>22</v>
      </c>
    </row>
    <row r="3" spans="1:1" ht="15.5">
      <c r="A3" s="9" t="s">
        <v>23</v>
      </c>
    </row>
    <row r="4" spans="1:1">
      <c r="A4" t="s">
        <v>24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25</v>
      </c>
    </row>
    <row r="9" spans="1:1">
      <c r="A9" s="11" t="s">
        <v>30</v>
      </c>
    </row>
    <row r="10" spans="1:1">
      <c r="A10" s="11" t="s">
        <v>31</v>
      </c>
    </row>
    <row r="12" spans="1:1" ht="15.5">
      <c r="A12" s="9" t="s">
        <v>29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s="12" t="s">
        <v>39</v>
      </c>
    </row>
    <row r="18" spans="1:1" ht="15.5">
      <c r="A18" s="9" t="s">
        <v>35</v>
      </c>
    </row>
    <row r="19" spans="1:1">
      <c r="A19" t="s">
        <v>36</v>
      </c>
    </row>
    <row r="20" spans="1:1">
      <c r="A20" t="s">
        <v>37</v>
      </c>
    </row>
    <row r="21" spans="1:1">
      <c r="A21" t="s">
        <v>38</v>
      </c>
    </row>
    <row r="22" spans="1:1">
      <c r="A22" s="11" t="s">
        <v>40</v>
      </c>
    </row>
    <row r="24" spans="1:1" ht="15.5">
      <c r="A24" s="9" t="s">
        <v>41</v>
      </c>
    </row>
    <row r="25" spans="1:1">
      <c r="A25" t="s">
        <v>42</v>
      </c>
    </row>
    <row r="26" spans="1:1">
      <c r="A26" t="s">
        <v>43</v>
      </c>
    </row>
    <row r="27" spans="1:1" ht="29">
      <c r="A27" s="13" t="s">
        <v>44</v>
      </c>
    </row>
    <row r="28" spans="1:1">
      <c r="A28" s="14" t="s">
        <v>45</v>
      </c>
    </row>
    <row r="30" spans="1:1" ht="15.5">
      <c r="A30" s="9" t="s">
        <v>46</v>
      </c>
    </row>
    <row r="31" spans="1:1">
      <c r="A31" t="s">
        <v>47</v>
      </c>
    </row>
    <row r="32" spans="1:1">
      <c r="A3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Dynamic Profitability Model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Sai</dc:creator>
  <cp:lastModifiedBy>Ajay Sai</cp:lastModifiedBy>
  <dcterms:created xsi:type="dcterms:W3CDTF">2026-05-27T07:51:22Z</dcterms:created>
  <dcterms:modified xsi:type="dcterms:W3CDTF">2026-05-27T10:27:14Z</dcterms:modified>
</cp:coreProperties>
</file>